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ku\Desktop\bewerte\"/>
    </mc:Choice>
  </mc:AlternateContent>
  <bookViews>
    <workbookView xWindow="0" yWindow="0" windowWidth="18816" windowHeight="7992" activeTab="5"/>
  </bookViews>
  <sheets>
    <sheet name="Auswertung" sheetId="1" r:id="rId1"/>
    <sheet name="Szenario" sheetId="2" r:id="rId2"/>
    <sheet name="YAWL-Workflow" sheetId="3" r:id="rId3"/>
    <sheet name="Erweiterung YAWL" sheetId="4" r:id="rId4"/>
    <sheet name="Workshop" sheetId="6" r:id="rId5"/>
    <sheet name="Process Mining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12" i="3"/>
  <c r="K13" i="3"/>
  <c r="K14" i="3"/>
  <c r="K4" i="3"/>
  <c r="K5" i="2"/>
  <c r="K6" i="2"/>
  <c r="K7" i="2"/>
  <c r="K8" i="2"/>
  <c r="K9" i="2"/>
  <c r="K10" i="2"/>
  <c r="K11" i="2"/>
  <c r="K12" i="2"/>
  <c r="K13" i="2"/>
  <c r="K4" i="2"/>
  <c r="K15" i="2" l="1"/>
  <c r="K16" i="2" s="1"/>
  <c r="K4" i="5"/>
  <c r="K5" i="5"/>
  <c r="K16" i="5" l="1"/>
  <c r="K17" i="5" s="1"/>
  <c r="K6" i="5"/>
  <c r="K7" i="5"/>
  <c r="K8" i="5"/>
  <c r="K9" i="5"/>
  <c r="K10" i="5"/>
  <c r="K11" i="5"/>
  <c r="K12" i="5"/>
  <c r="K13" i="5"/>
  <c r="K14" i="5"/>
  <c r="K5" i="6"/>
  <c r="K6" i="6"/>
  <c r="K7" i="6"/>
  <c r="K8" i="6"/>
  <c r="K9" i="6"/>
  <c r="K10" i="6"/>
  <c r="K11" i="6"/>
  <c r="K12" i="6"/>
  <c r="K13" i="6"/>
  <c r="K14" i="6"/>
  <c r="K4" i="6"/>
  <c r="K16" i="6" l="1"/>
  <c r="K17" i="6" s="1"/>
  <c r="K5" i="4" l="1"/>
  <c r="K6" i="4"/>
  <c r="K7" i="4"/>
  <c r="K8" i="4"/>
  <c r="K9" i="4"/>
  <c r="K10" i="4"/>
  <c r="K11" i="4"/>
  <c r="K12" i="4"/>
  <c r="K13" i="4"/>
  <c r="K14" i="4"/>
  <c r="K4" i="4"/>
  <c r="K16" i="4" l="1"/>
  <c r="K17" i="4" s="1"/>
  <c r="K16" i="3" l="1"/>
  <c r="K17" i="3" s="1"/>
  <c r="F3" i="1" l="1"/>
  <c r="A1" i="2" l="1"/>
  <c r="A1" i="3" s="1"/>
  <c r="A1" i="4" s="1"/>
  <c r="A1" i="6" s="1"/>
  <c r="A1" i="5" s="1"/>
  <c r="F8" i="1" l="1"/>
  <c r="F6" i="1"/>
  <c r="F7" i="1"/>
  <c r="F5" i="1"/>
  <c r="F4" i="1"/>
  <c r="F10" i="1" l="1"/>
  <c r="C29" i="1"/>
  <c r="B25" i="1" s="1"/>
  <c r="B24" i="1" l="1"/>
  <c r="C24" i="1"/>
  <c r="C10" i="1"/>
  <c r="B23" i="1" l="1"/>
  <c r="C23" i="1"/>
  <c r="C22" i="1" l="1"/>
  <c r="B22" i="1"/>
  <c r="B21" i="1" l="1"/>
  <c r="C21" i="1"/>
  <c r="B20" i="1" l="1"/>
  <c r="C20" i="1"/>
  <c r="B19" i="1" l="1"/>
  <c r="C19" i="1"/>
  <c r="B18" i="1" l="1"/>
  <c r="C18" i="1"/>
  <c r="B17" i="1" l="1"/>
  <c r="C17" i="1"/>
  <c r="C16" i="1" l="1"/>
  <c r="F16" i="1" s="1"/>
  <c r="B16" i="1"/>
</calcChain>
</file>

<file path=xl/sharedStrings.xml><?xml version="1.0" encoding="utf-8"?>
<sst xmlns="http://schemas.openxmlformats.org/spreadsheetml/2006/main" count="143" uniqueCount="79">
  <si>
    <t>Blatt</t>
  </si>
  <si>
    <t>Aufgabe</t>
  </si>
  <si>
    <t>%-Gewichtung</t>
  </si>
  <si>
    <t>mögliche Punkte</t>
  </si>
  <si>
    <t>Blatt 01</t>
  </si>
  <si>
    <t>Szenario</t>
  </si>
  <si>
    <t>Blatt 02</t>
  </si>
  <si>
    <t>Einfacher Workflow</t>
  </si>
  <si>
    <t>Blatt 03</t>
  </si>
  <si>
    <t>Erweiterter Workflow</t>
  </si>
  <si>
    <t>Blatt 04</t>
  </si>
  <si>
    <t>Workshop</t>
  </si>
  <si>
    <t>Blatt 05</t>
  </si>
  <si>
    <t>Process Mining</t>
  </si>
  <si>
    <t>Gesamt</t>
  </si>
  <si>
    <t>bis (auch =)</t>
  </si>
  <si>
    <t>über</t>
  </si>
  <si>
    <t>Schritt</t>
  </si>
  <si>
    <t>Kriterien</t>
  </si>
  <si>
    <t>nicht erfüllt</t>
  </si>
  <si>
    <t>teilweise</t>
  </si>
  <si>
    <t>erfüllt</t>
  </si>
  <si>
    <t>über Maßen erfüllt
(Bonus)</t>
  </si>
  <si>
    <t>Qualität/ Inhalt</t>
  </si>
  <si>
    <t>Unternehmensbeschreibung</t>
  </si>
  <si>
    <t>Organigramm</t>
  </si>
  <si>
    <t>Relevante Entitäten</t>
  </si>
  <si>
    <t>Prozesslandkarte</t>
  </si>
  <si>
    <t>WKD</t>
  </si>
  <si>
    <t>BPMN</t>
  </si>
  <si>
    <t>Nachvollziehbarkeit</t>
  </si>
  <si>
    <t>Fristgerechte Abgabe</t>
  </si>
  <si>
    <t>Aufteilung bei Vorstellung</t>
  </si>
  <si>
    <t>Nacharbeit nicht nötig</t>
  </si>
  <si>
    <t>20 Max</t>
  </si>
  <si>
    <t>10 Min</t>
  </si>
  <si>
    <t>Linearer Prozess</t>
  </si>
  <si>
    <t>Datenperspektive</t>
  </si>
  <si>
    <t>Entscheidung</t>
  </si>
  <si>
    <t>Schleife</t>
  </si>
  <si>
    <t>Org-Modell</t>
  </si>
  <si>
    <t>Funktion des Workflows</t>
  </si>
  <si>
    <t>Auftritt als Team</t>
  </si>
  <si>
    <t>Qualität</t>
  </si>
  <si>
    <t>Gliederung</t>
  </si>
  <si>
    <t>eigener komplexer Datentyp</t>
  </si>
  <si>
    <t>Composite Task</t>
  </si>
  <si>
    <t>Cancellation Region</t>
  </si>
  <si>
    <t>Realitätsnähe</t>
  </si>
  <si>
    <t>Struktur des Workshops</t>
  </si>
  <si>
    <t>Durchführung</t>
  </si>
  <si>
    <t>Instruktion der Teilnehmer</t>
  </si>
  <si>
    <t>Einbindung der Teilnehmer</t>
  </si>
  <si>
    <t>Dauer eingehalten?</t>
  </si>
  <si>
    <t>Handout/ Unterlagen</t>
  </si>
  <si>
    <t>Fristgerechte Abgabe/Upload</t>
  </si>
  <si>
    <t>Dokumentation des Workshops?</t>
  </si>
  <si>
    <t>Vergleich Log-Prom</t>
  </si>
  <si>
    <t>Bewertung der logs</t>
  </si>
  <si>
    <t>Vorstellung der Ergebnisse</t>
  </si>
  <si>
    <t>Dokumentation</t>
  </si>
  <si>
    <t>Summe</t>
  </si>
  <si>
    <t>VORNOTE</t>
  </si>
  <si>
    <t>Team:</t>
  </si>
  <si>
    <t>Bemerkungen</t>
  </si>
  <si>
    <t>über Maßen
erfüllt
(Bonus)</t>
  </si>
  <si>
    <t>Bemerkung</t>
  </si>
  <si>
    <t>Bemerkungen:</t>
  </si>
  <si>
    <t>Punkte</t>
  </si>
  <si>
    <t>Datum</t>
  </si>
  <si>
    <t>Bemerkung:</t>
  </si>
  <si>
    <t>mindestes 50% nötig</t>
  </si>
  <si>
    <t>Übertrag (Max)</t>
  </si>
  <si>
    <t>Übertrag (Max 20 Punkte)</t>
  </si>
  <si>
    <t>Team1 (VORLAGE)</t>
  </si>
  <si>
    <t>GP?</t>
  </si>
  <si>
    <t>Qualität/ Inhalt
nicht nur Verwendung,
sondern auch Funktion</t>
  </si>
  <si>
    <t>Qualität
nicht nur Verwendung, sondern auch Funktion</t>
  </si>
  <si>
    <t>Ergebnis/ 
Lessons Learned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</si>
</sst>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right"/>
    </xf>
    <xf numFmtId="0" fontId="0" fillId="0" borderId="1" xfId="0" applyBorder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6" xfId="0" applyBorder="1" applyAlignment="1">
      <alignment wrapText="1"/>
    </xf>
    <xf numFmtId="0" fontId="0" fillId="0" borderId="6" xfId="0" applyBorder="1"/>
    <xf numFmtId="14" fontId="0" fillId="0" borderId="0" xfId="0" applyNumberForma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/>
    <xf numFmtId="0" fontId="2" fillId="0" borderId="0" xfId="0" applyFont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5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D2" sqref="D2"/>
    </sheetView>
  </sheetViews>
  <sheetFormatPr baseColWidth="10" defaultColWidth="11.44140625" defaultRowHeight="14.4" x14ac:dyDescent="0.3"/>
  <cols>
    <col min="1" max="1" width="7.5546875" bestFit="1" customWidth="1"/>
    <col min="2" max="2" width="20.44140625" bestFit="1" customWidth="1"/>
    <col min="3" max="3" width="13.88671875" bestFit="1" customWidth="1"/>
    <col min="4" max="4" width="15.88671875" bestFit="1" customWidth="1"/>
  </cols>
  <sheetData>
    <row r="1" spans="1:6" x14ac:dyDescent="0.3">
      <c r="A1" t="s">
        <v>63</v>
      </c>
      <c r="B1" s="32" t="s">
        <v>74</v>
      </c>
      <c r="C1" s="33"/>
      <c r="D1" s="18" t="s">
        <v>75</v>
      </c>
    </row>
    <row r="2" spans="1:6" x14ac:dyDescent="0.3">
      <c r="F2" s="17"/>
    </row>
    <row r="3" spans="1:6" ht="27.6" x14ac:dyDescent="0.3">
      <c r="A3" s="1" t="s">
        <v>0</v>
      </c>
      <c r="B3" s="1" t="s">
        <v>1</v>
      </c>
      <c r="C3" s="1" t="s">
        <v>2</v>
      </c>
      <c r="D3" s="1" t="s">
        <v>3</v>
      </c>
      <c r="F3" s="5" t="str">
        <f>B1</f>
        <v>Team1 (VORLAGE)</v>
      </c>
    </row>
    <row r="4" spans="1:6" x14ac:dyDescent="0.3">
      <c r="A4" s="1" t="s">
        <v>4</v>
      </c>
      <c r="B4" s="1" t="s">
        <v>5</v>
      </c>
      <c r="C4" s="2">
        <v>0.2</v>
      </c>
      <c r="D4" s="1">
        <v>20</v>
      </c>
      <c r="F4" s="1">
        <f>Szenario!K16</f>
        <v>0</v>
      </c>
    </row>
    <row r="5" spans="1:6" x14ac:dyDescent="0.3">
      <c r="A5" s="1" t="s">
        <v>6</v>
      </c>
      <c r="B5" s="1" t="s">
        <v>7</v>
      </c>
      <c r="C5" s="2">
        <v>0.2</v>
      </c>
      <c r="D5" s="1">
        <v>20</v>
      </c>
      <c r="F5" s="1">
        <f>'YAWL-Workflow'!K17</f>
        <v>0</v>
      </c>
    </row>
    <row r="6" spans="1:6" x14ac:dyDescent="0.3">
      <c r="A6" s="1" t="s">
        <v>8</v>
      </c>
      <c r="B6" s="1" t="s">
        <v>9</v>
      </c>
      <c r="C6" s="2">
        <v>0.2</v>
      </c>
      <c r="D6" s="1">
        <v>20</v>
      </c>
      <c r="F6" s="1">
        <f>'Erweiterung YAWL'!K17</f>
        <v>0</v>
      </c>
    </row>
    <row r="7" spans="1:6" x14ac:dyDescent="0.3">
      <c r="A7" s="1" t="s">
        <v>10</v>
      </c>
      <c r="B7" s="1" t="s">
        <v>11</v>
      </c>
      <c r="C7" s="2">
        <v>0.2</v>
      </c>
      <c r="D7" s="1">
        <v>20</v>
      </c>
      <c r="F7" s="1">
        <f>Workshop!K17</f>
        <v>0</v>
      </c>
    </row>
    <row r="8" spans="1:6" x14ac:dyDescent="0.3">
      <c r="A8" s="1" t="s">
        <v>12</v>
      </c>
      <c r="B8" s="1" t="s">
        <v>13</v>
      </c>
      <c r="C8" s="2">
        <v>0.2</v>
      </c>
      <c r="D8" s="1">
        <v>20</v>
      </c>
      <c r="F8" s="1">
        <f>'Process Mining'!K17</f>
        <v>0</v>
      </c>
    </row>
    <row r="9" spans="1:6" x14ac:dyDescent="0.3">
      <c r="A9" s="1"/>
      <c r="B9" s="1"/>
      <c r="C9" s="1"/>
      <c r="D9" s="1"/>
      <c r="F9" s="1"/>
    </row>
    <row r="10" spans="1:6" x14ac:dyDescent="0.3">
      <c r="A10" s="1"/>
      <c r="B10" s="1" t="s">
        <v>14</v>
      </c>
      <c r="C10" s="2">
        <f>SUM(C4:C8)</f>
        <v>1</v>
      </c>
      <c r="D10" s="1">
        <v>100</v>
      </c>
      <c r="F10" s="1">
        <f>SUM(F4:F8)</f>
        <v>0</v>
      </c>
    </row>
    <row r="11" spans="1:6" ht="28.8" x14ac:dyDescent="0.3">
      <c r="D11" s="6" t="s">
        <v>71</v>
      </c>
    </row>
    <row r="15" spans="1:6" x14ac:dyDescent="0.3">
      <c r="A15" s="1"/>
      <c r="B15" s="1" t="s">
        <v>15</v>
      </c>
      <c r="C15" s="1" t="s">
        <v>16</v>
      </c>
    </row>
    <row r="16" spans="1:6" x14ac:dyDescent="0.3">
      <c r="A16" s="1">
        <v>1</v>
      </c>
      <c r="B16" s="1">
        <f t="shared" ref="B16:B24" si="0">B17+C$29</f>
        <v>100</v>
      </c>
      <c r="C16" s="1">
        <f>B17</f>
        <v>95</v>
      </c>
      <c r="E16" t="s">
        <v>62</v>
      </c>
      <c r="F16" s="1" t="b">
        <f>IF(F10&gt;$C16,1,IF(F10&gt;$C17,$A17,IF(F10&gt;$C18,$A18,IF(F10&gt;$C19,$A19,IF(F10&gt;$C20,$A20,IF(F10&gt;$C21,$A21,IF(F10&gt;$C22,$A22,IF(F10&gt;$C23,$A23,IF(F10&gt;$C24,$A24,IF(F10&gt;$C25,$A25,IF(F10&gt;$C26,$A26)))))))))))</f>
        <v>0</v>
      </c>
    </row>
    <row r="17" spans="1:3" x14ac:dyDescent="0.3">
      <c r="A17" s="1">
        <v>1.3</v>
      </c>
      <c r="B17" s="1">
        <f t="shared" si="0"/>
        <v>95</v>
      </c>
      <c r="C17" s="1">
        <f t="shared" ref="C17:C23" si="1">B18</f>
        <v>90</v>
      </c>
    </row>
    <row r="18" spans="1:3" x14ac:dyDescent="0.3">
      <c r="A18" s="1">
        <v>1.7</v>
      </c>
      <c r="B18" s="1">
        <f t="shared" si="0"/>
        <v>90</v>
      </c>
      <c r="C18" s="1">
        <f t="shared" si="1"/>
        <v>85</v>
      </c>
    </row>
    <row r="19" spans="1:3" x14ac:dyDescent="0.3">
      <c r="A19" s="1">
        <v>2</v>
      </c>
      <c r="B19" s="1">
        <f t="shared" si="0"/>
        <v>85</v>
      </c>
      <c r="C19" s="1">
        <f t="shared" si="1"/>
        <v>80</v>
      </c>
    </row>
    <row r="20" spans="1:3" x14ac:dyDescent="0.3">
      <c r="A20" s="1">
        <v>2.2999999999999998</v>
      </c>
      <c r="B20" s="1">
        <f t="shared" si="0"/>
        <v>80</v>
      </c>
      <c r="C20" s="1">
        <f t="shared" si="1"/>
        <v>75</v>
      </c>
    </row>
    <row r="21" spans="1:3" x14ac:dyDescent="0.3">
      <c r="A21" s="1">
        <v>2.7</v>
      </c>
      <c r="B21" s="1">
        <f t="shared" si="0"/>
        <v>75</v>
      </c>
      <c r="C21" s="1">
        <f t="shared" si="1"/>
        <v>70</v>
      </c>
    </row>
    <row r="22" spans="1:3" x14ac:dyDescent="0.3">
      <c r="A22" s="1">
        <v>3</v>
      </c>
      <c r="B22" s="1">
        <f t="shared" si="0"/>
        <v>70</v>
      </c>
      <c r="C22" s="1">
        <f t="shared" si="1"/>
        <v>65</v>
      </c>
    </row>
    <row r="23" spans="1:3" x14ac:dyDescent="0.3">
      <c r="A23" s="1">
        <v>3.3</v>
      </c>
      <c r="B23" s="1">
        <f t="shared" si="0"/>
        <v>65</v>
      </c>
      <c r="C23" s="1">
        <f t="shared" si="1"/>
        <v>60</v>
      </c>
    </row>
    <row r="24" spans="1:3" x14ac:dyDescent="0.3">
      <c r="A24" s="1">
        <v>3.7</v>
      </c>
      <c r="B24" s="1">
        <f t="shared" si="0"/>
        <v>60</v>
      </c>
      <c r="C24" s="1">
        <f>B25</f>
        <v>55</v>
      </c>
    </row>
    <row r="25" spans="1:3" x14ac:dyDescent="0.3">
      <c r="A25" s="1">
        <v>4</v>
      </c>
      <c r="B25" s="1">
        <f>C25+C29</f>
        <v>55</v>
      </c>
      <c r="C25" s="1">
        <v>50</v>
      </c>
    </row>
    <row r="26" spans="1:3" x14ac:dyDescent="0.3">
      <c r="A26" s="1">
        <v>5</v>
      </c>
      <c r="B26" s="1"/>
      <c r="C26" s="1"/>
    </row>
    <row r="29" spans="1:3" x14ac:dyDescent="0.3">
      <c r="B29" t="s">
        <v>17</v>
      </c>
      <c r="C29">
        <f>(D10-C25)/10</f>
        <v>5</v>
      </c>
    </row>
  </sheetData>
  <mergeCells count="1">
    <mergeCell ref="B1:C1"/>
  </mergeCells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&amp;A&amp;RSeite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J6" sqref="J6"/>
    </sheetView>
  </sheetViews>
  <sheetFormatPr baseColWidth="10" defaultColWidth="11.44140625" defaultRowHeight="14.4" x14ac:dyDescent="0.3"/>
  <cols>
    <col min="1" max="1" width="21.88671875" bestFit="1" customWidth="1"/>
    <col min="2" max="2" width="26.6640625" bestFit="1" customWidth="1"/>
    <col min="3" max="3" width="6.33203125" customWidth="1"/>
    <col min="4" max="4" width="5" customWidth="1"/>
    <col min="5" max="5" width="9.33203125" customWidth="1"/>
    <col min="6" max="6" width="4" bestFit="1" customWidth="1"/>
    <col min="7" max="7" width="6.88671875" customWidth="1"/>
    <col min="8" max="8" width="4" bestFit="1" customWidth="1"/>
    <col min="9" max="9" width="7.88671875" bestFit="1" customWidth="1"/>
    <col min="10" max="10" width="28.33203125" customWidth="1"/>
    <col min="11" max="11" width="9.6640625" customWidth="1"/>
  </cols>
  <sheetData>
    <row r="1" spans="1:11" x14ac:dyDescent="0.3">
      <c r="A1" t="str">
        <f>Auswertung!B1</f>
        <v>Team1 (VORLAGE)</v>
      </c>
      <c r="J1" s="16" t="s">
        <v>69</v>
      </c>
      <c r="K1" s="22"/>
    </row>
    <row r="2" spans="1:11" ht="57.6" x14ac:dyDescent="0.3">
      <c r="A2" s="1" t="s">
        <v>18</v>
      </c>
      <c r="B2" s="1"/>
      <c r="C2" s="4" t="s">
        <v>19</v>
      </c>
      <c r="D2" s="4"/>
      <c r="E2" s="1" t="s">
        <v>20</v>
      </c>
      <c r="F2" s="1"/>
      <c r="G2" s="1" t="s">
        <v>21</v>
      </c>
      <c r="H2" s="1"/>
      <c r="I2" s="4" t="s">
        <v>65</v>
      </c>
      <c r="J2" s="3" t="s">
        <v>66</v>
      </c>
      <c r="K2" s="5" t="s">
        <v>68</v>
      </c>
    </row>
    <row r="3" spans="1:11" x14ac:dyDescent="0.3">
      <c r="A3" s="1"/>
      <c r="B3" s="1"/>
      <c r="C3" s="25">
        <v>0</v>
      </c>
      <c r="D3" s="25">
        <v>0.5</v>
      </c>
      <c r="E3" s="24">
        <v>1</v>
      </c>
      <c r="F3" s="24">
        <v>1.5</v>
      </c>
      <c r="G3" s="24">
        <v>2</v>
      </c>
      <c r="H3" s="24">
        <v>2.5</v>
      </c>
      <c r="I3" s="25">
        <v>3</v>
      </c>
      <c r="J3" s="3"/>
      <c r="K3" s="5"/>
    </row>
    <row r="4" spans="1:11" ht="19.95" customHeight="1" x14ac:dyDescent="0.3">
      <c r="A4" s="34" t="s">
        <v>23</v>
      </c>
      <c r="B4" s="23" t="s">
        <v>24</v>
      </c>
      <c r="C4" s="24"/>
      <c r="D4" s="24"/>
      <c r="E4" s="24"/>
      <c r="F4" s="24"/>
      <c r="G4" s="24"/>
      <c r="H4" s="24"/>
      <c r="I4" s="24"/>
      <c r="J4" s="1"/>
      <c r="K4" s="1">
        <f>IF(C4="x",C$3,IF(D4="x",D$3,IF(E4="x",E$3,IF(F4="x",F$3,IF(G4="x",G$3,IF(H4="x",H$3,IF(I4="x",I$3,0)))))))</f>
        <v>0</v>
      </c>
    </row>
    <row r="5" spans="1:11" ht="18" customHeight="1" x14ac:dyDescent="0.3">
      <c r="A5" s="34"/>
      <c r="B5" s="23" t="s">
        <v>25</v>
      </c>
      <c r="C5" s="24"/>
      <c r="D5" s="24"/>
      <c r="E5" s="24"/>
      <c r="F5" s="24"/>
      <c r="G5" s="24"/>
      <c r="H5" s="24"/>
      <c r="I5" s="24"/>
      <c r="J5" s="1"/>
      <c r="K5" s="1">
        <f t="shared" ref="K5:K13" si="0">IF(C5="x",C$3,IF(D5="x",D$3,IF(E5="x",E$3,IF(F5="x",F$3,IF(G5="x",G$3,IF(H5="x",H$3,IF(I5="x",I$3,0)))))))</f>
        <v>0</v>
      </c>
    </row>
    <row r="6" spans="1:11" ht="18" customHeight="1" x14ac:dyDescent="0.3">
      <c r="A6" s="34"/>
      <c r="B6" s="23" t="s">
        <v>26</v>
      </c>
      <c r="C6" s="24"/>
      <c r="D6" s="24"/>
      <c r="E6" s="24"/>
      <c r="F6" s="24"/>
      <c r="G6" s="24"/>
      <c r="H6" s="24"/>
      <c r="I6" s="24"/>
      <c r="J6" s="1"/>
      <c r="K6" s="1">
        <f t="shared" si="0"/>
        <v>0</v>
      </c>
    </row>
    <row r="7" spans="1:11" ht="18" customHeight="1" x14ac:dyDescent="0.3">
      <c r="A7" s="34"/>
      <c r="B7" s="23" t="s">
        <v>27</v>
      </c>
      <c r="C7" s="24"/>
      <c r="D7" s="24"/>
      <c r="E7" s="24"/>
      <c r="F7" s="24"/>
      <c r="G7" s="24"/>
      <c r="H7" s="24"/>
      <c r="I7" s="24"/>
      <c r="J7" s="1"/>
      <c r="K7" s="1">
        <f t="shared" si="0"/>
        <v>0</v>
      </c>
    </row>
    <row r="8" spans="1:11" ht="18" customHeight="1" x14ac:dyDescent="0.3">
      <c r="A8" s="34"/>
      <c r="B8" s="23" t="s">
        <v>28</v>
      </c>
      <c r="C8" s="24"/>
      <c r="D8" s="24"/>
      <c r="E8" s="24"/>
      <c r="F8" s="24"/>
      <c r="G8" s="24"/>
      <c r="H8" s="24"/>
      <c r="I8" s="24"/>
      <c r="J8" s="1"/>
      <c r="K8" s="1">
        <f t="shared" si="0"/>
        <v>0</v>
      </c>
    </row>
    <row r="9" spans="1:11" ht="18" customHeight="1" x14ac:dyDescent="0.3">
      <c r="A9" s="34"/>
      <c r="B9" s="23" t="s">
        <v>29</v>
      </c>
      <c r="C9" s="24"/>
      <c r="D9" s="24"/>
      <c r="E9" s="24"/>
      <c r="F9" s="24"/>
      <c r="G9" s="24"/>
      <c r="H9" s="24"/>
      <c r="I9" s="24"/>
      <c r="J9" s="1"/>
      <c r="K9" s="1">
        <f t="shared" si="0"/>
        <v>0</v>
      </c>
    </row>
    <row r="10" spans="1:11" ht="18" customHeight="1" x14ac:dyDescent="0.3">
      <c r="A10" s="23" t="s">
        <v>30</v>
      </c>
      <c r="B10" s="23"/>
      <c r="C10" s="24"/>
      <c r="D10" s="24"/>
      <c r="E10" s="24"/>
      <c r="F10" s="24"/>
      <c r="G10" s="24"/>
      <c r="H10" s="24"/>
      <c r="I10" s="24"/>
      <c r="J10" s="1"/>
      <c r="K10" s="1">
        <f t="shared" si="0"/>
        <v>0</v>
      </c>
    </row>
    <row r="11" spans="1:11" ht="18" customHeight="1" x14ac:dyDescent="0.3">
      <c r="A11" s="23" t="s">
        <v>31</v>
      </c>
      <c r="B11" s="23"/>
      <c r="C11" s="24"/>
      <c r="D11" s="26"/>
      <c r="E11" s="26"/>
      <c r="F11" s="26"/>
      <c r="G11" s="24"/>
      <c r="H11" s="26"/>
      <c r="I11" s="26"/>
      <c r="J11" s="1"/>
      <c r="K11" s="1">
        <f t="shared" si="0"/>
        <v>0</v>
      </c>
    </row>
    <row r="12" spans="1:11" ht="18" customHeight="1" x14ac:dyDescent="0.3">
      <c r="A12" s="23" t="s">
        <v>32</v>
      </c>
      <c r="B12" s="23"/>
      <c r="C12" s="24"/>
      <c r="D12" s="24"/>
      <c r="E12" s="24"/>
      <c r="F12" s="24"/>
      <c r="G12" s="24"/>
      <c r="H12" s="24"/>
      <c r="I12" s="24"/>
      <c r="J12" s="1"/>
      <c r="K12" s="1">
        <f t="shared" si="0"/>
        <v>0</v>
      </c>
    </row>
    <row r="13" spans="1:11" ht="18" customHeight="1" x14ac:dyDescent="0.3">
      <c r="A13" s="23" t="s">
        <v>33</v>
      </c>
      <c r="B13" s="23"/>
      <c r="C13" s="24"/>
      <c r="D13" s="24"/>
      <c r="E13" s="24"/>
      <c r="F13" s="24"/>
      <c r="G13" s="24"/>
      <c r="H13" s="24"/>
      <c r="I13" s="24"/>
      <c r="J13" s="1"/>
      <c r="K13" s="1">
        <f t="shared" si="0"/>
        <v>0</v>
      </c>
    </row>
    <row r="15" spans="1:11" x14ac:dyDescent="0.3">
      <c r="I15" t="s">
        <v>34</v>
      </c>
      <c r="J15" t="s">
        <v>61</v>
      </c>
      <c r="K15">
        <f>SUM(K4:K13)</f>
        <v>0</v>
      </c>
    </row>
    <row r="16" spans="1:11" x14ac:dyDescent="0.3">
      <c r="J16" s="18" t="s">
        <v>72</v>
      </c>
      <c r="K16" s="19">
        <f>IF(K15&gt;20,20,K15)</f>
        <v>0</v>
      </c>
    </row>
    <row r="19" spans="1:11" ht="15" thickBot="1" x14ac:dyDescent="0.35">
      <c r="A19" t="s">
        <v>67</v>
      </c>
    </row>
    <row r="20" spans="1:11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3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2"/>
    </row>
    <row r="22" spans="1:11" x14ac:dyDescent="0.3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2"/>
    </row>
    <row r="23" spans="1:11" x14ac:dyDescent="0.3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2"/>
    </row>
    <row r="24" spans="1:11" x14ac:dyDescent="0.3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2"/>
    </row>
    <row r="25" spans="1:11" x14ac:dyDescent="0.3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 spans="1:11" x14ac:dyDescent="0.3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2"/>
    </row>
    <row r="27" spans="1:11" ht="15" thickBot="1" x14ac:dyDescent="0.3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</row>
  </sheetData>
  <mergeCells count="1">
    <mergeCell ref="A4:A9"/>
  </mergeCells>
  <conditionalFormatting sqref="C4:I13">
    <cfRule type="containsText" dxfId="4" priority="1" operator="containsText" text="x">
      <formula>NOT(ISERROR(SEARCH("x",C4)))</formula>
    </cfRule>
  </conditionalFormatting>
  <pageMargins left="0.70866141732283472" right="0.70866141732283472" top="0.78740157480314965" bottom="0.78740157480314965" header="0.31496062992125984" footer="0.31496062992125984"/>
  <pageSetup paperSize="9" orientation="landscape" r:id="rId1"/>
  <headerFooter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B10" sqref="B10"/>
    </sheetView>
  </sheetViews>
  <sheetFormatPr baseColWidth="10" defaultColWidth="11.44140625" defaultRowHeight="14.4" x14ac:dyDescent="0.3"/>
  <cols>
    <col min="1" max="1" width="20.6640625" bestFit="1" customWidth="1"/>
    <col min="2" max="2" width="14.5546875" bestFit="1" customWidth="1"/>
    <col min="3" max="3" width="6.6640625" customWidth="1"/>
    <col min="4" max="4" width="5.88671875" customWidth="1"/>
    <col min="5" max="5" width="8.33203125" bestFit="1" customWidth="1"/>
    <col min="6" max="6" width="8.33203125" customWidth="1"/>
    <col min="7" max="7" width="7" customWidth="1"/>
    <col min="8" max="8" width="5.88671875" customWidth="1"/>
    <col min="9" max="9" width="10.88671875" bestFit="1" customWidth="1"/>
    <col min="10" max="10" width="31.88671875" customWidth="1"/>
    <col min="11" max="11" width="10.6640625" customWidth="1"/>
  </cols>
  <sheetData>
    <row r="1" spans="1:11" x14ac:dyDescent="0.3">
      <c r="A1" t="str">
        <f>Szenario!A1</f>
        <v>Team1 (VORLAGE)</v>
      </c>
      <c r="J1" s="16" t="s">
        <v>69</v>
      </c>
      <c r="K1" s="22"/>
    </row>
    <row r="2" spans="1:11" ht="43.2" x14ac:dyDescent="0.3">
      <c r="A2" s="1" t="s">
        <v>18</v>
      </c>
      <c r="B2" s="1"/>
      <c r="C2" s="4" t="s">
        <v>19</v>
      </c>
      <c r="D2" s="4"/>
      <c r="E2" s="1" t="s">
        <v>20</v>
      </c>
      <c r="F2" s="1"/>
      <c r="G2" s="1" t="s">
        <v>21</v>
      </c>
      <c r="H2" s="1"/>
      <c r="I2" s="4" t="s">
        <v>22</v>
      </c>
      <c r="J2" s="3" t="s">
        <v>66</v>
      </c>
      <c r="K2" s="5" t="s">
        <v>68</v>
      </c>
    </row>
    <row r="3" spans="1:11" x14ac:dyDescent="0.3">
      <c r="A3" s="1"/>
      <c r="B3" s="1"/>
      <c r="C3" s="25">
        <v>0</v>
      </c>
      <c r="D3" s="25">
        <v>0.5</v>
      </c>
      <c r="E3" s="24">
        <v>1</v>
      </c>
      <c r="F3" s="24">
        <v>1.5</v>
      </c>
      <c r="G3" s="24">
        <v>2</v>
      </c>
      <c r="H3" s="24">
        <v>2.5</v>
      </c>
      <c r="I3" s="25">
        <v>3</v>
      </c>
      <c r="J3" s="3"/>
      <c r="K3" s="5"/>
    </row>
    <row r="4" spans="1:11" ht="19.95" customHeight="1" x14ac:dyDescent="0.3">
      <c r="A4" s="39" t="s">
        <v>76</v>
      </c>
      <c r="B4" s="23" t="s">
        <v>36</v>
      </c>
      <c r="C4" s="24"/>
      <c r="D4" s="24"/>
      <c r="E4" s="24"/>
      <c r="F4" s="24"/>
      <c r="G4" s="24"/>
      <c r="H4" s="24"/>
      <c r="I4" s="24"/>
      <c r="J4" s="1"/>
      <c r="K4" s="1">
        <f>IF(C4="x",C$3,IF(D4="x",D$3,IF(E4="x",E$3,IF(F4="x",F$3,IF(G4="x",G$3,IF(H4="x",H$3,IF(I4="x",I$3,0)))))))</f>
        <v>0</v>
      </c>
    </row>
    <row r="5" spans="1:11" ht="19.95" customHeight="1" x14ac:dyDescent="0.3">
      <c r="A5" s="35"/>
      <c r="B5" s="23" t="s">
        <v>37</v>
      </c>
      <c r="C5" s="24"/>
      <c r="D5" s="24"/>
      <c r="E5" s="24"/>
      <c r="F5" s="24"/>
      <c r="G5" s="24"/>
      <c r="H5" s="24"/>
      <c r="I5" s="24"/>
      <c r="J5" s="1"/>
      <c r="K5" s="1">
        <f t="shared" ref="K5:K14" si="0">IF(C5="x",C$3,IF(D5="x",D$3,IF(E5="x",E$3,IF(F5="x",F$3,IF(G5="x",G$3,IF(H5="x",H$3,IF(I5="x",I$3,0)))))))</f>
        <v>0</v>
      </c>
    </row>
    <row r="6" spans="1:11" ht="19.95" customHeight="1" x14ac:dyDescent="0.3">
      <c r="A6" s="35"/>
      <c r="B6" s="23" t="s">
        <v>38</v>
      </c>
      <c r="C6" s="24"/>
      <c r="D6" s="24"/>
      <c r="E6" s="24"/>
      <c r="F6" s="24"/>
      <c r="G6" s="24"/>
      <c r="H6" s="24"/>
      <c r="I6" s="24"/>
      <c r="J6" s="1"/>
      <c r="K6" s="1">
        <f t="shared" si="0"/>
        <v>0</v>
      </c>
    </row>
    <row r="7" spans="1:11" ht="19.95" customHeight="1" x14ac:dyDescent="0.3">
      <c r="A7" s="35"/>
      <c r="B7" s="23" t="s">
        <v>39</v>
      </c>
      <c r="C7" s="24"/>
      <c r="D7" s="24"/>
      <c r="E7" s="24"/>
      <c r="F7" s="24"/>
      <c r="G7" s="24"/>
      <c r="H7" s="24"/>
      <c r="I7" s="24"/>
      <c r="J7" s="1"/>
      <c r="K7" s="1">
        <f t="shared" si="0"/>
        <v>0</v>
      </c>
    </row>
    <row r="8" spans="1:11" ht="19.95" customHeight="1" x14ac:dyDescent="0.3">
      <c r="A8" s="35"/>
      <c r="B8" s="23" t="s">
        <v>40</v>
      </c>
      <c r="C8" s="24"/>
      <c r="D8" s="24"/>
      <c r="E8" s="24"/>
      <c r="F8" s="24"/>
      <c r="G8" s="24"/>
      <c r="H8" s="24"/>
      <c r="I8" s="24"/>
      <c r="J8" s="1"/>
      <c r="K8" s="1">
        <f t="shared" si="0"/>
        <v>0</v>
      </c>
    </row>
    <row r="9" spans="1:11" ht="19.95" customHeight="1" x14ac:dyDescent="0.3">
      <c r="A9" s="23"/>
      <c r="B9" s="23"/>
      <c r="C9" s="24"/>
      <c r="D9" s="24"/>
      <c r="E9" s="24"/>
      <c r="F9" s="24"/>
      <c r="G9" s="24"/>
      <c r="H9" s="24"/>
      <c r="I9" s="24"/>
      <c r="J9" s="1"/>
      <c r="K9" s="1">
        <f t="shared" si="0"/>
        <v>0</v>
      </c>
    </row>
    <row r="10" spans="1:11" ht="19.95" customHeight="1" x14ac:dyDescent="0.3">
      <c r="A10" s="23" t="s">
        <v>30</v>
      </c>
      <c r="B10" s="23"/>
      <c r="C10" s="24"/>
      <c r="D10" s="24"/>
      <c r="E10" s="24"/>
      <c r="F10" s="24"/>
      <c r="G10" s="24"/>
      <c r="H10" s="24"/>
      <c r="I10" s="24"/>
      <c r="J10" s="1"/>
      <c r="K10" s="1">
        <f t="shared" si="0"/>
        <v>0</v>
      </c>
    </row>
    <row r="11" spans="1:11" ht="19.95" customHeight="1" x14ac:dyDescent="0.3">
      <c r="A11" s="23" t="s">
        <v>31</v>
      </c>
      <c r="B11" s="23"/>
      <c r="C11" s="24"/>
      <c r="D11" s="26"/>
      <c r="E11" s="26"/>
      <c r="F11" s="26"/>
      <c r="G11" s="24"/>
      <c r="H11" s="26"/>
      <c r="I11" s="26"/>
      <c r="J11" s="1"/>
      <c r="K11" s="1">
        <f t="shared" si="0"/>
        <v>0</v>
      </c>
    </row>
    <row r="12" spans="1:11" ht="19.95" customHeight="1" x14ac:dyDescent="0.3">
      <c r="A12" s="23" t="s">
        <v>41</v>
      </c>
      <c r="B12" s="23"/>
      <c r="C12" s="24"/>
      <c r="D12" s="24"/>
      <c r="E12" s="24"/>
      <c r="F12" s="24"/>
      <c r="G12" s="24"/>
      <c r="H12" s="24"/>
      <c r="I12" s="24"/>
      <c r="J12" s="1"/>
      <c r="K12" s="1">
        <f t="shared" si="0"/>
        <v>0</v>
      </c>
    </row>
    <row r="13" spans="1:11" ht="19.95" customHeight="1" x14ac:dyDescent="0.3">
      <c r="A13" s="23" t="s">
        <v>42</v>
      </c>
      <c r="B13" s="23"/>
      <c r="C13" s="24"/>
      <c r="D13" s="24"/>
      <c r="E13" s="24"/>
      <c r="F13" s="24"/>
      <c r="G13" s="24"/>
      <c r="H13" s="24"/>
      <c r="I13" s="24"/>
      <c r="J13" s="1"/>
      <c r="K13" s="1">
        <f t="shared" si="0"/>
        <v>0</v>
      </c>
    </row>
    <row r="14" spans="1:11" ht="19.95" customHeight="1" x14ac:dyDescent="0.3">
      <c r="A14" s="23" t="s">
        <v>33</v>
      </c>
      <c r="B14" s="23"/>
      <c r="C14" s="24"/>
      <c r="D14" s="24"/>
      <c r="E14" s="24"/>
      <c r="F14" s="24"/>
      <c r="G14" s="24"/>
      <c r="H14" s="24"/>
      <c r="I14" s="24"/>
      <c r="J14" s="1"/>
      <c r="K14" s="1">
        <f t="shared" si="0"/>
        <v>0</v>
      </c>
    </row>
    <row r="16" spans="1:11" x14ac:dyDescent="0.3">
      <c r="J16" t="s">
        <v>61</v>
      </c>
      <c r="K16">
        <f>SUM(K4:K14)</f>
        <v>0</v>
      </c>
    </row>
    <row r="17" spans="1:11" x14ac:dyDescent="0.3">
      <c r="I17" t="s">
        <v>34</v>
      </c>
      <c r="J17" s="18" t="s">
        <v>72</v>
      </c>
      <c r="K17" s="19">
        <f>IF(K16&gt;20,20,K16)</f>
        <v>0</v>
      </c>
    </row>
    <row r="18" spans="1:11" x14ac:dyDescent="0.3">
      <c r="I18" t="s">
        <v>35</v>
      </c>
      <c r="J18" s="16"/>
    </row>
    <row r="19" spans="1:11" ht="15" thickBot="1" x14ac:dyDescent="0.35">
      <c r="A19" t="s">
        <v>67</v>
      </c>
    </row>
    <row r="20" spans="1:11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3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2"/>
    </row>
    <row r="22" spans="1:11" x14ac:dyDescent="0.3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2"/>
    </row>
    <row r="23" spans="1:11" x14ac:dyDescent="0.3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2"/>
    </row>
    <row r="24" spans="1:11" x14ac:dyDescent="0.3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2"/>
    </row>
    <row r="25" spans="1:11" x14ac:dyDescent="0.3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 spans="1:11" ht="15" thickBot="1" x14ac:dyDescent="0.3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</row>
  </sheetData>
  <mergeCells count="1">
    <mergeCell ref="A4:A8"/>
  </mergeCells>
  <conditionalFormatting sqref="C4:I14">
    <cfRule type="containsText" dxfId="3" priority="1" operator="containsText" text="x">
      <formula>NOT(ISERROR(SEARCH("x",C4)))</formula>
    </cfRule>
  </conditionalFormatting>
  <pageMargins left="0.70866141732283472" right="0.70866141732283472" top="0.78740157480314965" bottom="0.78740157480314965" header="0.31496062992125984" footer="0.31496062992125984"/>
  <pageSetup paperSize="9" orientation="landscape" r:id="rId1"/>
  <headerFooter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C6" sqref="C6"/>
    </sheetView>
  </sheetViews>
  <sheetFormatPr baseColWidth="10" defaultColWidth="11.44140625" defaultRowHeight="14.4" x14ac:dyDescent="0.3"/>
  <cols>
    <col min="1" max="1" width="19.88671875" customWidth="1"/>
    <col min="2" max="2" width="23" bestFit="1" customWidth="1"/>
    <col min="3" max="3" width="6.6640625" customWidth="1"/>
    <col min="4" max="4" width="5" customWidth="1"/>
    <col min="5" max="5" width="9.33203125" customWidth="1"/>
    <col min="6" max="6" width="4" bestFit="1" customWidth="1"/>
    <col min="7" max="7" width="6" customWidth="1"/>
    <col min="8" max="8" width="4" bestFit="1" customWidth="1"/>
    <col min="9" max="9" width="7.88671875" bestFit="1" customWidth="1"/>
    <col min="10" max="10" width="33.33203125" customWidth="1"/>
    <col min="11" max="11" width="10.6640625" customWidth="1"/>
  </cols>
  <sheetData>
    <row r="1" spans="1:11" x14ac:dyDescent="0.3">
      <c r="A1" t="str">
        <f>'YAWL-Workflow'!A1</f>
        <v>Team1 (VORLAGE)</v>
      </c>
      <c r="J1" s="16" t="s">
        <v>69</v>
      </c>
    </row>
    <row r="2" spans="1:11" ht="57.6" x14ac:dyDescent="0.3">
      <c r="A2" s="1" t="s">
        <v>18</v>
      </c>
      <c r="B2" s="1"/>
      <c r="C2" s="4" t="s">
        <v>19</v>
      </c>
      <c r="D2" s="4"/>
      <c r="E2" s="1" t="s">
        <v>20</v>
      </c>
      <c r="F2" s="1"/>
      <c r="G2" s="1" t="s">
        <v>21</v>
      </c>
      <c r="H2" s="1"/>
      <c r="I2" s="4" t="s">
        <v>22</v>
      </c>
      <c r="J2" s="3" t="s">
        <v>66</v>
      </c>
      <c r="K2" s="5" t="s">
        <v>68</v>
      </c>
    </row>
    <row r="3" spans="1:11" x14ac:dyDescent="0.3">
      <c r="A3" s="1"/>
      <c r="B3" s="1"/>
      <c r="C3" s="25">
        <v>0</v>
      </c>
      <c r="D3" s="25">
        <v>0.5</v>
      </c>
      <c r="E3" s="24">
        <v>1</v>
      </c>
      <c r="F3" s="24">
        <v>1.5</v>
      </c>
      <c r="G3" s="24">
        <v>2</v>
      </c>
      <c r="H3" s="24">
        <v>2.5</v>
      </c>
      <c r="I3" s="25">
        <v>3</v>
      </c>
      <c r="J3" s="3"/>
      <c r="K3" s="5"/>
    </row>
    <row r="4" spans="1:11" ht="19.95" customHeight="1" x14ac:dyDescent="0.3">
      <c r="A4" s="40" t="s">
        <v>77</v>
      </c>
      <c r="B4" s="23" t="s">
        <v>44</v>
      </c>
      <c r="C4" s="24"/>
      <c r="D4" s="24"/>
      <c r="E4" s="24"/>
      <c r="F4" s="24"/>
      <c r="G4" s="24"/>
      <c r="H4" s="24"/>
      <c r="I4" s="24"/>
      <c r="J4" s="1"/>
      <c r="K4" s="1">
        <f>IF(C4="x",C$3,IF(D4="x",D$3,IF(E4="x",E$3,IF(F4="x",F$3,IF(G4="x",G$3,IF(H4="x",H$3,IF(I4="x",I$3,0)))))))</f>
        <v>0</v>
      </c>
    </row>
    <row r="5" spans="1:11" ht="19.95" customHeight="1" x14ac:dyDescent="0.3">
      <c r="A5" s="34"/>
      <c r="B5" s="23" t="s">
        <v>45</v>
      </c>
      <c r="C5" s="24"/>
      <c r="D5" s="24"/>
      <c r="E5" s="24"/>
      <c r="F5" s="24"/>
      <c r="G5" s="24"/>
      <c r="H5" s="24"/>
      <c r="I5" s="24"/>
      <c r="J5" s="1"/>
      <c r="K5" s="1">
        <f t="shared" ref="K5:K14" si="0">IF(C5="x",C$3,IF(D5="x",D$3,IF(E5="x",E$3,IF(F5="x",F$3,IF(G5="x",G$3,IF(H5="x",H$3,IF(I5="x",I$3,0)))))))</f>
        <v>0</v>
      </c>
    </row>
    <row r="6" spans="1:11" ht="19.95" customHeight="1" x14ac:dyDescent="0.3">
      <c r="A6" s="34"/>
      <c r="B6" s="23" t="s">
        <v>46</v>
      </c>
      <c r="C6" s="24"/>
      <c r="D6" s="24"/>
      <c r="E6" s="24"/>
      <c r="F6" s="24"/>
      <c r="G6" s="24"/>
      <c r="H6" s="24"/>
      <c r="I6" s="24"/>
      <c r="J6" s="1"/>
      <c r="K6" s="1">
        <f t="shared" si="0"/>
        <v>0</v>
      </c>
    </row>
    <row r="7" spans="1:11" ht="19.95" customHeight="1" x14ac:dyDescent="0.3">
      <c r="A7" s="34"/>
      <c r="B7" s="23" t="s">
        <v>47</v>
      </c>
      <c r="C7" s="24"/>
      <c r="D7" s="24"/>
      <c r="E7" s="24"/>
      <c r="F7" s="24"/>
      <c r="G7" s="24"/>
      <c r="H7" s="24"/>
      <c r="I7" s="24"/>
      <c r="J7" s="1"/>
      <c r="K7" s="1">
        <f t="shared" si="0"/>
        <v>0</v>
      </c>
    </row>
    <row r="8" spans="1:11" ht="19.95" customHeight="1" x14ac:dyDescent="0.3">
      <c r="A8" s="23"/>
      <c r="B8" s="23"/>
      <c r="C8" s="24"/>
      <c r="D8" s="24"/>
      <c r="E8" s="24"/>
      <c r="F8" s="24"/>
      <c r="G8" s="24"/>
      <c r="H8" s="24"/>
      <c r="I8" s="24"/>
      <c r="J8" s="1"/>
      <c r="K8" s="1">
        <f t="shared" si="0"/>
        <v>0</v>
      </c>
    </row>
    <row r="9" spans="1:11" ht="19.95" customHeight="1" x14ac:dyDescent="0.3">
      <c r="A9" s="23" t="s">
        <v>30</v>
      </c>
      <c r="B9" s="23"/>
      <c r="C9" s="24"/>
      <c r="D9" s="24"/>
      <c r="E9" s="24"/>
      <c r="F9" s="24"/>
      <c r="G9" s="24"/>
      <c r="H9" s="24"/>
      <c r="I9" s="24"/>
      <c r="J9" s="1"/>
      <c r="K9" s="1">
        <f t="shared" si="0"/>
        <v>0</v>
      </c>
    </row>
    <row r="10" spans="1:11" ht="19.95" customHeight="1" x14ac:dyDescent="0.3">
      <c r="A10" s="23" t="s">
        <v>48</v>
      </c>
      <c r="B10" s="23"/>
      <c r="C10" s="24"/>
      <c r="D10" s="24"/>
      <c r="E10" s="24"/>
      <c r="F10" s="24"/>
      <c r="G10" s="24"/>
      <c r="H10" s="24"/>
      <c r="I10" s="24"/>
      <c r="J10" s="1"/>
      <c r="K10" s="1">
        <f t="shared" si="0"/>
        <v>0</v>
      </c>
    </row>
    <row r="11" spans="1:11" ht="19.95" customHeight="1" x14ac:dyDescent="0.3">
      <c r="A11" s="23" t="s">
        <v>31</v>
      </c>
      <c r="B11" s="23"/>
      <c r="C11" s="24"/>
      <c r="D11" s="26"/>
      <c r="E11" s="26"/>
      <c r="F11" s="26"/>
      <c r="G11" s="24"/>
      <c r="H11" s="26"/>
      <c r="I11" s="26"/>
      <c r="J11" s="1"/>
      <c r="K11" s="1">
        <f t="shared" si="0"/>
        <v>0</v>
      </c>
    </row>
    <row r="12" spans="1:11" ht="19.95" customHeight="1" x14ac:dyDescent="0.3">
      <c r="A12" s="23" t="s">
        <v>41</v>
      </c>
      <c r="B12" s="23"/>
      <c r="C12" s="24"/>
      <c r="D12" s="24"/>
      <c r="E12" s="24"/>
      <c r="F12" s="24"/>
      <c r="G12" s="24"/>
      <c r="H12" s="24"/>
      <c r="I12" s="24"/>
      <c r="J12" s="1"/>
      <c r="K12" s="1">
        <f t="shared" si="0"/>
        <v>0</v>
      </c>
    </row>
    <row r="13" spans="1:11" ht="19.95" customHeight="1" x14ac:dyDescent="0.3">
      <c r="A13" s="23" t="s">
        <v>42</v>
      </c>
      <c r="B13" s="23"/>
      <c r="C13" s="24"/>
      <c r="D13" s="24"/>
      <c r="E13" s="24"/>
      <c r="F13" s="24"/>
      <c r="G13" s="24"/>
      <c r="H13" s="24"/>
      <c r="I13" s="24"/>
      <c r="J13" s="1"/>
      <c r="K13" s="1">
        <f t="shared" si="0"/>
        <v>0</v>
      </c>
    </row>
    <row r="14" spans="1:11" ht="19.95" customHeight="1" x14ac:dyDescent="0.3">
      <c r="A14" s="23" t="s">
        <v>33</v>
      </c>
      <c r="B14" s="23"/>
      <c r="C14" s="24"/>
      <c r="D14" s="24"/>
      <c r="E14" s="24"/>
      <c r="F14" s="24"/>
      <c r="G14" s="24"/>
      <c r="H14" s="24"/>
      <c r="I14" s="24"/>
      <c r="J14" s="1"/>
      <c r="K14" s="1">
        <f t="shared" si="0"/>
        <v>0</v>
      </c>
    </row>
    <row r="16" spans="1:11" x14ac:dyDescent="0.3">
      <c r="J16" t="s">
        <v>61</v>
      </c>
      <c r="K16">
        <f>SUM(K4:K14)</f>
        <v>0</v>
      </c>
    </row>
    <row r="17" spans="1:11" x14ac:dyDescent="0.3">
      <c r="I17" t="s">
        <v>34</v>
      </c>
      <c r="J17" s="18" t="s">
        <v>73</v>
      </c>
      <c r="K17" s="19">
        <f>IF(K16&gt;20,20,K16)</f>
        <v>0</v>
      </c>
    </row>
    <row r="18" spans="1:11" x14ac:dyDescent="0.3">
      <c r="I18" t="s">
        <v>35</v>
      </c>
    </row>
    <row r="19" spans="1:11" ht="15" thickBot="1" x14ac:dyDescent="0.35">
      <c r="A19" t="s">
        <v>70</v>
      </c>
    </row>
    <row r="20" spans="1:11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3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2"/>
    </row>
    <row r="22" spans="1:11" x14ac:dyDescent="0.3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2"/>
    </row>
    <row r="23" spans="1:11" x14ac:dyDescent="0.3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2"/>
    </row>
    <row r="24" spans="1:11" x14ac:dyDescent="0.3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2"/>
    </row>
    <row r="25" spans="1:11" x14ac:dyDescent="0.3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 spans="1:11" ht="15" thickBot="1" x14ac:dyDescent="0.3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</row>
  </sheetData>
  <mergeCells count="1">
    <mergeCell ref="A4:A7"/>
  </mergeCells>
  <conditionalFormatting sqref="C4:I14">
    <cfRule type="containsText" dxfId="2" priority="1" operator="containsText" text="x">
      <formula>NOT(ISERROR(SEARCH("x",C4)))</formula>
    </cfRule>
  </conditionalFormatting>
  <pageMargins left="0.70866141732283472" right="0.70866141732283472" top="0.78740157480314965" bottom="0.78740157480314965" header="0.31496062992125984" footer="0.31496062992125984"/>
  <pageSetup paperSize="9" orientation="landscape" r:id="rId1"/>
  <headerFooter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D11" sqref="D11:F11"/>
    </sheetView>
  </sheetViews>
  <sheetFormatPr baseColWidth="10" defaultColWidth="11.44140625" defaultRowHeight="14.4" x14ac:dyDescent="0.3"/>
  <cols>
    <col min="1" max="1" width="26.44140625" customWidth="1"/>
    <col min="2" max="2" width="22.33203125" bestFit="1" customWidth="1"/>
    <col min="3" max="3" width="6.33203125" customWidth="1"/>
    <col min="4" max="4" width="5.109375" customWidth="1"/>
    <col min="5" max="5" width="8.6640625" customWidth="1"/>
    <col min="6" max="6" width="4" bestFit="1" customWidth="1"/>
    <col min="7" max="7" width="6.88671875" customWidth="1"/>
    <col min="8" max="8" width="4" bestFit="1" customWidth="1"/>
    <col min="9" max="9" width="7.88671875" bestFit="1" customWidth="1"/>
    <col min="10" max="10" width="29.5546875" customWidth="1"/>
    <col min="11" max="11" width="9.44140625" customWidth="1"/>
  </cols>
  <sheetData>
    <row r="1" spans="1:11" x14ac:dyDescent="0.3">
      <c r="A1" t="str">
        <f>'Erweiterung YAWL'!A1</f>
        <v>Team1 (VORLAGE)</v>
      </c>
      <c r="J1" s="16" t="s">
        <v>69</v>
      </c>
      <c r="K1" s="17"/>
    </row>
    <row r="2" spans="1:11" ht="57.6" x14ac:dyDescent="0.3">
      <c r="A2" s="1" t="s">
        <v>18</v>
      </c>
      <c r="B2" s="1"/>
      <c r="C2" s="4" t="s">
        <v>19</v>
      </c>
      <c r="D2" s="4"/>
      <c r="E2" s="1" t="s">
        <v>20</v>
      </c>
      <c r="F2" s="1"/>
      <c r="G2" s="1" t="s">
        <v>21</v>
      </c>
      <c r="H2" s="21"/>
      <c r="I2" s="20" t="s">
        <v>22</v>
      </c>
      <c r="J2" s="3" t="s">
        <v>64</v>
      </c>
      <c r="K2" s="5" t="s">
        <v>68</v>
      </c>
    </row>
    <row r="3" spans="1:11" x14ac:dyDescent="0.3">
      <c r="A3" s="1"/>
      <c r="B3" s="1"/>
      <c r="C3" s="25">
        <v>0</v>
      </c>
      <c r="D3" s="25">
        <v>0.5</v>
      </c>
      <c r="E3" s="24">
        <v>1</v>
      </c>
      <c r="F3" s="24">
        <v>1.5</v>
      </c>
      <c r="G3" s="24">
        <v>2</v>
      </c>
      <c r="H3" s="30">
        <v>2.5</v>
      </c>
      <c r="I3" s="31">
        <v>3</v>
      </c>
      <c r="J3" s="3"/>
      <c r="K3" s="5"/>
    </row>
    <row r="4" spans="1:11" ht="19.95" customHeight="1" x14ac:dyDescent="0.3">
      <c r="A4" s="27" t="s">
        <v>43</v>
      </c>
      <c r="B4" s="28" t="s">
        <v>49</v>
      </c>
      <c r="C4" s="24"/>
      <c r="D4" s="24"/>
      <c r="E4" s="24"/>
      <c r="F4" s="24"/>
      <c r="G4" s="24"/>
      <c r="H4" s="24"/>
      <c r="I4" s="24"/>
      <c r="J4" s="1"/>
      <c r="K4" s="1">
        <f>IF(C4="x",C$3,IF(D4="x",D$3,IF(E4="x",E$3,IF(F4="x",F$3,IF(G4="x",G$3,IF(H4="x",H$3,IF(I4="x",I$3,0)))))))</f>
        <v>0</v>
      </c>
    </row>
    <row r="5" spans="1:11" ht="19.95" customHeight="1" x14ac:dyDescent="0.3">
      <c r="A5" s="36" t="s">
        <v>50</v>
      </c>
      <c r="B5" s="23" t="s">
        <v>51</v>
      </c>
      <c r="C5" s="24"/>
      <c r="D5" s="24"/>
      <c r="E5" s="24"/>
      <c r="F5" s="24"/>
      <c r="G5" s="24"/>
      <c r="H5" s="24"/>
      <c r="I5" s="24"/>
      <c r="J5" s="1"/>
      <c r="K5" s="1">
        <f t="shared" ref="K5:K14" si="0">IF(C5="x",C$3,IF(D5="x",D$3,IF(E5="x",E$3,IF(F5="x",F$3,IF(G5="x",G$3,IF(H5="x",H$3,IF(I5="x",I$3,0)))))))</f>
        <v>0</v>
      </c>
    </row>
    <row r="6" spans="1:11" ht="19.95" customHeight="1" x14ac:dyDescent="0.3">
      <c r="A6" s="37"/>
      <c r="B6" s="23" t="s">
        <v>52</v>
      </c>
      <c r="C6" s="24"/>
      <c r="D6" s="24"/>
      <c r="E6" s="24"/>
      <c r="F6" s="24"/>
      <c r="G6" s="24"/>
      <c r="H6" s="24"/>
      <c r="I6" s="24"/>
      <c r="J6" s="1"/>
      <c r="K6" s="1">
        <f t="shared" si="0"/>
        <v>0</v>
      </c>
    </row>
    <row r="7" spans="1:11" ht="19.95" customHeight="1" x14ac:dyDescent="0.3">
      <c r="A7" s="37"/>
      <c r="B7" s="23" t="s">
        <v>53</v>
      </c>
      <c r="C7" s="24"/>
      <c r="D7" s="24"/>
      <c r="E7" s="24"/>
      <c r="F7" s="24"/>
      <c r="G7" s="24"/>
      <c r="H7" s="24"/>
      <c r="I7" s="24"/>
      <c r="J7" s="1"/>
      <c r="K7" s="1">
        <f t="shared" si="0"/>
        <v>0</v>
      </c>
    </row>
    <row r="8" spans="1:11" ht="19.95" customHeight="1" x14ac:dyDescent="0.3">
      <c r="A8" s="37"/>
      <c r="B8" s="23" t="s">
        <v>54</v>
      </c>
      <c r="C8" s="24"/>
      <c r="D8" s="24"/>
      <c r="E8" s="24"/>
      <c r="F8" s="24"/>
      <c r="G8" s="24"/>
      <c r="H8" s="24"/>
      <c r="I8" s="24"/>
      <c r="J8" s="1"/>
      <c r="K8" s="1">
        <f t="shared" si="0"/>
        <v>0</v>
      </c>
    </row>
    <row r="9" spans="1:11" ht="19.95" customHeight="1" x14ac:dyDescent="0.3">
      <c r="A9" s="38"/>
      <c r="B9" s="23" t="s">
        <v>30</v>
      </c>
      <c r="C9" s="24"/>
      <c r="D9" s="24"/>
      <c r="E9" s="24"/>
      <c r="F9" s="24"/>
      <c r="G9" s="24"/>
      <c r="H9" s="24"/>
      <c r="I9" s="24"/>
      <c r="J9" s="1"/>
      <c r="K9" s="1">
        <f t="shared" si="0"/>
        <v>0</v>
      </c>
    </row>
    <row r="10" spans="1:11" ht="19.95" customHeight="1" x14ac:dyDescent="0.3">
      <c r="A10" s="29"/>
      <c r="B10" s="23"/>
      <c r="C10" s="24"/>
      <c r="D10" s="24"/>
      <c r="E10" s="24"/>
      <c r="F10" s="24"/>
      <c r="G10" s="24"/>
      <c r="H10" s="24"/>
      <c r="I10" s="24"/>
      <c r="J10" s="1"/>
      <c r="K10" s="1">
        <f t="shared" si="0"/>
        <v>0</v>
      </c>
    </row>
    <row r="11" spans="1:11" ht="19.95" customHeight="1" x14ac:dyDescent="0.3">
      <c r="A11" s="23" t="s">
        <v>55</v>
      </c>
      <c r="B11" s="23"/>
      <c r="C11" s="24"/>
      <c r="D11" s="26"/>
      <c r="E11" s="26"/>
      <c r="F11" s="26"/>
      <c r="G11" s="24"/>
      <c r="H11" s="26"/>
      <c r="I11" s="26"/>
      <c r="J11" s="1"/>
      <c r="K11" s="1">
        <f t="shared" si="0"/>
        <v>0</v>
      </c>
    </row>
    <row r="12" spans="1:11" ht="19.95" customHeight="1" x14ac:dyDescent="0.3">
      <c r="A12" s="23" t="s">
        <v>56</v>
      </c>
      <c r="B12" s="23"/>
      <c r="C12" s="24"/>
      <c r="D12" s="24"/>
      <c r="E12" s="24"/>
      <c r="F12" s="24"/>
      <c r="G12" s="24"/>
      <c r="H12" s="24"/>
      <c r="I12" s="24"/>
      <c r="J12" s="1"/>
      <c r="K12" s="1">
        <f t="shared" si="0"/>
        <v>0</v>
      </c>
    </row>
    <row r="13" spans="1:11" ht="19.95" customHeight="1" x14ac:dyDescent="0.3">
      <c r="A13" s="23" t="s">
        <v>42</v>
      </c>
      <c r="B13" s="23"/>
      <c r="C13" s="24"/>
      <c r="D13" s="24"/>
      <c r="E13" s="24"/>
      <c r="F13" s="24"/>
      <c r="G13" s="24"/>
      <c r="H13" s="24"/>
      <c r="I13" s="24"/>
      <c r="J13" s="1"/>
      <c r="K13" s="1">
        <f t="shared" si="0"/>
        <v>0</v>
      </c>
    </row>
    <row r="14" spans="1:11" ht="19.95" customHeight="1" x14ac:dyDescent="0.3">
      <c r="A14" s="23" t="s">
        <v>33</v>
      </c>
      <c r="B14" s="23"/>
      <c r="C14" s="24"/>
      <c r="D14" s="24"/>
      <c r="E14" s="24"/>
      <c r="F14" s="24"/>
      <c r="G14" s="24"/>
      <c r="H14" s="24"/>
      <c r="I14" s="24"/>
      <c r="J14" s="1"/>
      <c r="K14" s="1">
        <f t="shared" si="0"/>
        <v>0</v>
      </c>
    </row>
    <row r="16" spans="1:11" x14ac:dyDescent="0.3">
      <c r="J16" t="s">
        <v>61</v>
      </c>
      <c r="K16">
        <f>SUM(K4:K14)</f>
        <v>0</v>
      </c>
    </row>
    <row r="17" spans="1:11" x14ac:dyDescent="0.3">
      <c r="I17" t="s">
        <v>34</v>
      </c>
      <c r="J17" s="18" t="s">
        <v>73</v>
      </c>
      <c r="K17" s="19">
        <f>IF(K16&gt;20,20,K16)</f>
        <v>0</v>
      </c>
    </row>
    <row r="18" spans="1:11" x14ac:dyDescent="0.3">
      <c r="I18" t="s">
        <v>35</v>
      </c>
    </row>
    <row r="19" spans="1:11" ht="15" thickBot="1" x14ac:dyDescent="0.35">
      <c r="A19" t="s">
        <v>67</v>
      </c>
    </row>
    <row r="20" spans="1:11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3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2"/>
    </row>
    <row r="22" spans="1:11" x14ac:dyDescent="0.3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2"/>
    </row>
    <row r="23" spans="1:11" x14ac:dyDescent="0.3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2"/>
    </row>
    <row r="24" spans="1:11" x14ac:dyDescent="0.3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2"/>
    </row>
    <row r="25" spans="1:11" x14ac:dyDescent="0.3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 spans="1:11" ht="15" thickBot="1" x14ac:dyDescent="0.3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</row>
  </sheetData>
  <mergeCells count="1">
    <mergeCell ref="A5:A9"/>
  </mergeCells>
  <conditionalFormatting sqref="C4:I14">
    <cfRule type="containsText" dxfId="1" priority="1" operator="containsText" text="x">
      <formula>NOT(ISERROR(SEARCH("x",C4)))</formula>
    </cfRule>
  </conditionalFormatting>
  <pageMargins left="0.70866141732283472" right="0.70866141732283472" top="0.78740157480314965" bottom="0.78740157480314965" header="0.31496062992125984" footer="0.31496062992125984"/>
  <pageSetup paperSize="9" orientation="landscape" r:id="rId1"/>
  <headerFooter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A14" sqref="A14"/>
    </sheetView>
  </sheetViews>
  <sheetFormatPr baseColWidth="10" defaultColWidth="11.44140625" defaultRowHeight="14.4" x14ac:dyDescent="0.3"/>
  <cols>
    <col min="1" max="1" width="23.88671875" customWidth="1"/>
    <col min="2" max="2" width="15.6640625" customWidth="1"/>
    <col min="3" max="3" width="6.44140625" customWidth="1"/>
    <col min="4" max="4" width="4.5546875" customWidth="1"/>
    <col min="5" max="5" width="9.109375" customWidth="1"/>
    <col min="6" max="6" width="4" bestFit="1" customWidth="1"/>
    <col min="7" max="7" width="6.5546875" bestFit="1" customWidth="1"/>
    <col min="8" max="8" width="4" bestFit="1" customWidth="1"/>
    <col min="9" max="9" width="11.6640625" bestFit="1" customWidth="1"/>
    <col min="10" max="10" width="33.44140625" customWidth="1"/>
    <col min="11" max="11" width="10.6640625" customWidth="1"/>
  </cols>
  <sheetData>
    <row r="1" spans="1:11" x14ac:dyDescent="0.3">
      <c r="A1" t="str">
        <f>Workshop!A1</f>
        <v>Team1 (VORLAGE)</v>
      </c>
      <c r="J1" s="16" t="s">
        <v>69</v>
      </c>
    </row>
    <row r="2" spans="1:11" ht="43.2" x14ac:dyDescent="0.3">
      <c r="A2" s="1" t="s">
        <v>18</v>
      </c>
      <c r="B2" s="1"/>
      <c r="C2" s="4" t="s">
        <v>19</v>
      </c>
      <c r="D2" s="4"/>
      <c r="E2" s="1" t="s">
        <v>20</v>
      </c>
      <c r="F2" s="1"/>
      <c r="G2" s="1" t="s">
        <v>21</v>
      </c>
      <c r="H2" s="1"/>
      <c r="I2" s="4" t="s">
        <v>22</v>
      </c>
      <c r="J2" s="3" t="s">
        <v>66</v>
      </c>
      <c r="K2" s="5" t="s">
        <v>68</v>
      </c>
    </row>
    <row r="3" spans="1:11" x14ac:dyDescent="0.3">
      <c r="A3" s="1"/>
      <c r="B3" s="1"/>
      <c r="C3" s="25">
        <v>0</v>
      </c>
      <c r="D3" s="25">
        <v>0.5</v>
      </c>
      <c r="E3" s="24">
        <v>1</v>
      </c>
      <c r="F3" s="24">
        <v>1.5</v>
      </c>
      <c r="G3" s="24">
        <v>2</v>
      </c>
      <c r="H3" s="24">
        <v>2.5</v>
      </c>
      <c r="I3" s="25">
        <v>3</v>
      </c>
      <c r="J3" s="3"/>
      <c r="K3" s="5"/>
    </row>
    <row r="4" spans="1:11" ht="19.95" customHeight="1" x14ac:dyDescent="0.3">
      <c r="A4" s="35" t="s">
        <v>43</v>
      </c>
      <c r="B4" s="23" t="s">
        <v>44</v>
      </c>
      <c r="C4" s="24"/>
      <c r="D4" s="24"/>
      <c r="E4" s="24"/>
      <c r="F4" s="24"/>
      <c r="G4" s="24"/>
      <c r="H4" s="24"/>
      <c r="I4" s="24"/>
      <c r="J4" s="1"/>
      <c r="K4" s="1">
        <f t="shared" ref="K4:K14" si="0">IF(C4="x",C$3,IF(D4="x",D$3,IF(E4="x",E$3,IF(F4="x",F$3,IF(G4="x",G$3,IF(H4="x",H$3,IF(I4="x",I$3,0)))))))</f>
        <v>0</v>
      </c>
    </row>
    <row r="5" spans="1:11" ht="19.95" customHeight="1" x14ac:dyDescent="0.3">
      <c r="A5" s="35"/>
      <c r="B5" s="23" t="s">
        <v>57</v>
      </c>
      <c r="C5" s="24"/>
      <c r="D5" s="24"/>
      <c r="E5" s="24"/>
      <c r="F5" s="24"/>
      <c r="G5" s="24"/>
      <c r="H5" s="24"/>
      <c r="I5" s="24"/>
      <c r="J5" s="1"/>
      <c r="K5" s="1">
        <f t="shared" si="0"/>
        <v>0</v>
      </c>
    </row>
    <row r="6" spans="1:11" ht="19.95" customHeight="1" x14ac:dyDescent="0.3">
      <c r="A6" s="35"/>
      <c r="B6" s="23" t="s">
        <v>58</v>
      </c>
      <c r="C6" s="24"/>
      <c r="D6" s="24"/>
      <c r="E6" s="24"/>
      <c r="F6" s="24"/>
      <c r="G6" s="24"/>
      <c r="H6" s="24"/>
      <c r="I6" s="24"/>
      <c r="J6" s="1"/>
      <c r="K6" s="1">
        <f t="shared" si="0"/>
        <v>0</v>
      </c>
    </row>
    <row r="7" spans="1:11" ht="27.6" x14ac:dyDescent="0.3">
      <c r="A7" s="35"/>
      <c r="B7" s="5" t="s">
        <v>78</v>
      </c>
      <c r="C7" s="24"/>
      <c r="D7" s="24"/>
      <c r="E7" s="24"/>
      <c r="F7" s="24"/>
      <c r="G7" s="24"/>
      <c r="H7" s="24"/>
      <c r="I7" s="24"/>
      <c r="J7" s="1"/>
      <c r="K7" s="1">
        <f t="shared" si="0"/>
        <v>0</v>
      </c>
    </row>
    <row r="8" spans="1:11" ht="19.95" customHeight="1" x14ac:dyDescent="0.3">
      <c r="A8" s="23"/>
      <c r="B8" s="23"/>
      <c r="C8" s="24"/>
      <c r="D8" s="24"/>
      <c r="E8" s="24"/>
      <c r="F8" s="24"/>
      <c r="G8" s="24"/>
      <c r="H8" s="24"/>
      <c r="I8" s="24"/>
      <c r="J8" s="1"/>
      <c r="K8" s="1">
        <f t="shared" si="0"/>
        <v>0</v>
      </c>
    </row>
    <row r="9" spans="1:11" ht="19.95" customHeight="1" x14ac:dyDescent="0.3">
      <c r="A9" s="23" t="s">
        <v>59</v>
      </c>
      <c r="B9" s="23"/>
      <c r="C9" s="24"/>
      <c r="D9" s="24"/>
      <c r="E9" s="24"/>
      <c r="F9" s="24"/>
      <c r="G9" s="24"/>
      <c r="H9" s="24"/>
      <c r="I9" s="24"/>
      <c r="J9" s="1"/>
      <c r="K9" s="1">
        <f t="shared" si="0"/>
        <v>0</v>
      </c>
    </row>
    <row r="10" spans="1:11" ht="19.95" customHeight="1" x14ac:dyDescent="0.3">
      <c r="A10" s="23" t="s">
        <v>30</v>
      </c>
      <c r="B10" s="23"/>
      <c r="C10" s="24"/>
      <c r="D10" s="24"/>
      <c r="E10" s="24"/>
      <c r="F10" s="24"/>
      <c r="G10" s="24"/>
      <c r="H10" s="24"/>
      <c r="I10" s="24"/>
      <c r="J10" s="1"/>
      <c r="K10" s="1">
        <f t="shared" si="0"/>
        <v>0</v>
      </c>
    </row>
    <row r="11" spans="1:11" ht="19.95" customHeight="1" x14ac:dyDescent="0.3">
      <c r="A11" s="23" t="s">
        <v>55</v>
      </c>
      <c r="B11" s="23"/>
      <c r="C11" s="24"/>
      <c r="D11" s="26"/>
      <c r="E11" s="26"/>
      <c r="F11" s="26"/>
      <c r="G11" s="24"/>
      <c r="H11" s="26"/>
      <c r="I11" s="26"/>
      <c r="J11" s="1"/>
      <c r="K11" s="1">
        <f t="shared" si="0"/>
        <v>0</v>
      </c>
    </row>
    <row r="12" spans="1:11" ht="19.95" customHeight="1" x14ac:dyDescent="0.3">
      <c r="A12" s="23" t="s">
        <v>60</v>
      </c>
      <c r="B12" s="23"/>
      <c r="C12" s="24"/>
      <c r="D12" s="24"/>
      <c r="E12" s="24"/>
      <c r="F12" s="24"/>
      <c r="G12" s="24"/>
      <c r="H12" s="24"/>
      <c r="I12" s="24"/>
      <c r="J12" s="1"/>
      <c r="K12" s="1">
        <f t="shared" si="0"/>
        <v>0</v>
      </c>
    </row>
    <row r="13" spans="1:11" ht="19.95" customHeight="1" x14ac:dyDescent="0.3">
      <c r="A13" s="23" t="s">
        <v>42</v>
      </c>
      <c r="B13" s="23"/>
      <c r="C13" s="24"/>
      <c r="D13" s="24"/>
      <c r="E13" s="24"/>
      <c r="F13" s="24"/>
      <c r="G13" s="24"/>
      <c r="H13" s="24"/>
      <c r="I13" s="24"/>
      <c r="J13" s="1"/>
      <c r="K13" s="1">
        <f t="shared" si="0"/>
        <v>0</v>
      </c>
    </row>
    <row r="14" spans="1:11" ht="19.95" customHeight="1" x14ac:dyDescent="0.3">
      <c r="A14" s="23" t="s">
        <v>33</v>
      </c>
      <c r="B14" s="23"/>
      <c r="C14" s="24"/>
      <c r="D14" s="24"/>
      <c r="E14" s="24"/>
      <c r="F14" s="24"/>
      <c r="G14" s="24"/>
      <c r="H14" s="24"/>
      <c r="I14" s="24"/>
      <c r="J14" s="1"/>
      <c r="K14" s="1">
        <f t="shared" si="0"/>
        <v>0</v>
      </c>
    </row>
    <row r="16" spans="1:11" x14ac:dyDescent="0.3">
      <c r="J16" t="s">
        <v>61</v>
      </c>
      <c r="K16">
        <f>SUM(K4:K14)</f>
        <v>0</v>
      </c>
    </row>
    <row r="17" spans="1:11" x14ac:dyDescent="0.3">
      <c r="I17" t="s">
        <v>34</v>
      </c>
      <c r="J17" s="18" t="s">
        <v>73</v>
      </c>
      <c r="K17" s="19">
        <f>IF(K16&gt;20,20,K16)</f>
        <v>0</v>
      </c>
    </row>
    <row r="18" spans="1:11" x14ac:dyDescent="0.3">
      <c r="I18" t="s">
        <v>35</v>
      </c>
    </row>
    <row r="19" spans="1:11" ht="15" thickBot="1" x14ac:dyDescent="0.35">
      <c r="A19" t="s">
        <v>67</v>
      </c>
    </row>
    <row r="20" spans="1:11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3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2"/>
    </row>
    <row r="22" spans="1:11" x14ac:dyDescent="0.3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2"/>
    </row>
    <row r="23" spans="1:11" x14ac:dyDescent="0.3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2"/>
    </row>
    <row r="24" spans="1:11" x14ac:dyDescent="0.3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2"/>
    </row>
    <row r="25" spans="1:11" x14ac:dyDescent="0.3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 spans="1:11" x14ac:dyDescent="0.3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2"/>
    </row>
    <row r="27" spans="1:11" ht="15" thickBot="1" x14ac:dyDescent="0.3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</row>
  </sheetData>
  <mergeCells count="1">
    <mergeCell ref="A4:A7"/>
  </mergeCells>
  <conditionalFormatting sqref="C4:I14">
    <cfRule type="containsText" dxfId="0" priority="1" operator="containsText" text="x">
      <formula>NOT(ISERROR(SEARCH("x",C4)))</formula>
    </cfRule>
  </conditionalFormatting>
  <pageMargins left="0.70866141732283472" right="0.70866141732283472" top="0.78740157480314965" bottom="0.78740157480314965" header="0.31496062992125984" footer="0.31496062992125984"/>
  <pageSetup paperSize="9" orientation="landscape" r:id="rId1"/>
  <headerFooter>
    <oddHeader>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Auswertung</vt:lpstr>
      <vt:lpstr>Szenario</vt:lpstr>
      <vt:lpstr>YAWL-Workflow</vt:lpstr>
      <vt:lpstr>Erweiterung YAWL</vt:lpstr>
      <vt:lpstr>Workshop</vt:lpstr>
      <vt:lpstr>Process Mining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Markus</dc:creator>
  <cp:keywords/>
  <dc:description/>
  <cp:lastModifiedBy>markus</cp:lastModifiedBy>
  <cp:revision/>
  <cp:lastPrinted>2023-05-24T08:39:48Z</cp:lastPrinted>
  <dcterms:created xsi:type="dcterms:W3CDTF">2023-03-17T11:44:04Z</dcterms:created>
  <dcterms:modified xsi:type="dcterms:W3CDTF">2026-04-13T17:45:17Z</dcterms:modified>
  <cp:category/>
  <cp:contentStatus/>
</cp:coreProperties>
</file>